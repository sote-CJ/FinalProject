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\capstone\"/>
    </mc:Choice>
  </mc:AlternateContent>
  <xr:revisionPtr revIDLastSave="0" documentId="13_ncr:1_{C2310B4B-0001-4881-86DE-A74FDCB107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1" l="1"/>
  <c r="L54" i="1"/>
  <c r="L53" i="1"/>
  <c r="L52" i="1"/>
  <c r="L51" i="1"/>
  <c r="H51" i="1"/>
  <c r="G51" i="1"/>
  <c r="F51" i="1"/>
  <c r="L50" i="1"/>
  <c r="L49" i="1"/>
  <c r="L48" i="1"/>
  <c r="L47" i="1"/>
  <c r="L46" i="1"/>
  <c r="L45" i="1"/>
  <c r="L44" i="1"/>
  <c r="G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G26" i="1"/>
  <c r="L25" i="1"/>
  <c r="L24" i="1"/>
  <c r="L23" i="1"/>
  <c r="L22" i="1"/>
  <c r="L21" i="1"/>
  <c r="L20" i="1"/>
  <c r="L19" i="1"/>
  <c r="L18" i="1"/>
  <c r="L17" i="1"/>
  <c r="L16" i="1"/>
  <c r="L15" i="1"/>
  <c r="L14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<sst xmlns="http://schemas.openxmlformats.org/spreadsheetml/2006/main" count="120" uniqueCount="69">
  <si>
    <t>name</t>
  </si>
  <si>
    <t>Ta</t>
  </si>
  <si>
    <t>Tb</t>
  </si>
  <si>
    <t>Tc</t>
  </si>
  <si>
    <t>Tj</t>
  </si>
  <si>
    <t>theta_ja</t>
  </si>
  <si>
    <t>theta_jb</t>
  </si>
  <si>
    <t>theta_jt</t>
  </si>
  <si>
    <t>Tg</t>
  </si>
  <si>
    <t>recycle</t>
  </si>
  <si>
    <t>cost</t>
  </si>
  <si>
    <t>Epoxy hysol 6000</t>
  </si>
  <si>
    <t>D</t>
  </si>
  <si>
    <t>Epoxy Resin Typical</t>
  </si>
  <si>
    <t>Epoxy silica-filled</t>
  </si>
  <si>
    <t>Epoxy kevlar_xy</t>
  </si>
  <si>
    <t>Epoxy unfilled</t>
  </si>
  <si>
    <t>C</t>
  </si>
  <si>
    <t>Expoxy Resin JSME</t>
  </si>
  <si>
    <t>Expoxy Glass fiber</t>
  </si>
  <si>
    <t>EME-6650R</t>
  </si>
  <si>
    <t>EME-E500</t>
  </si>
  <si>
    <t>EME-6600R</t>
  </si>
  <si>
    <t>A</t>
  </si>
  <si>
    <t>CEL-8240HF10GK</t>
  </si>
  <si>
    <t>CEL‑9220HF10 / HF13</t>
  </si>
  <si>
    <t>CEL‑9240HF10</t>
  </si>
  <si>
    <t>CEL‑9400HF10</t>
  </si>
  <si>
    <t>CEL‑9900C‑R</t>
  </si>
  <si>
    <t>CEL‑9700HF10</t>
  </si>
  <si>
    <t>CEL‑9750 ZHF10 HT3W</t>
  </si>
  <si>
    <t>CEL‑1702HF13</t>
  </si>
  <si>
    <t>CEL‑1802HF19</t>
  </si>
  <si>
    <t>CEL‑400 Series</t>
  </si>
  <si>
    <t>CEL‑W7005</t>
  </si>
  <si>
    <t>CEL‑W9300</t>
  </si>
  <si>
    <t>CEL‑W9500</t>
  </si>
  <si>
    <t>CEL‑O700 Series</t>
  </si>
  <si>
    <t>CEL-8260HF13</t>
  </si>
  <si>
    <t>CEL-8500HF10</t>
  </si>
  <si>
    <t>CEL-9000HF10</t>
  </si>
  <si>
    <t>CEL-9100HF10C-R</t>
  </si>
  <si>
    <t>CEL-9200HF10M-CW</t>
  </si>
  <si>
    <t>CEL-9405HF10</t>
  </si>
  <si>
    <t>CEL-9600HF10</t>
  </si>
  <si>
    <t>CEL-9705ZHF10</t>
  </si>
  <si>
    <t>CV8700</t>
  </si>
  <si>
    <t>CV8800</t>
  </si>
  <si>
    <t>CV8900</t>
  </si>
  <si>
    <t>CV8100</t>
  </si>
  <si>
    <t>CV8200</t>
  </si>
  <si>
    <t>MP-8000</t>
  </si>
  <si>
    <t>MP-8100</t>
  </si>
  <si>
    <t>MP-8200</t>
  </si>
  <si>
    <t>MP-8300</t>
  </si>
  <si>
    <t>MP-8800</t>
  </si>
  <si>
    <t>KMC-5000</t>
  </si>
  <si>
    <t>KMC-5300</t>
  </si>
  <si>
    <t>KMC-6000</t>
  </si>
  <si>
    <t>KMC-6500</t>
  </si>
  <si>
    <t>KMC-8000 (Low Stress)</t>
  </si>
  <si>
    <t>KE-G200</t>
  </si>
  <si>
    <t>KE-G300</t>
  </si>
  <si>
    <t>KE-G500 (High k)</t>
  </si>
  <si>
    <t>KE-G800 (Low Stress)</t>
  </si>
  <si>
    <t>KE-G900 (Ultra High Tg)</t>
  </si>
  <si>
    <t>KE-G1250LKDS</t>
  </si>
  <si>
    <t>cte</t>
    <phoneticPr fontId="2" type="noConversion"/>
  </si>
  <si>
    <t>CEL-8250HF10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</si>
</sst>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3" borderId="0" xfId="1" applyFont="1" applyFill="1" applyAlignment="1"/>
    <xf numFmtId="0" fontId="4" fillId="3" borderId="0" xfId="1" applyFont="1" applyFill="1" applyAlignment="1"/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tabSelected="1" zoomScale="71" zoomScaleNormal="53" workbookViewId="0">
      <selection activeCell="V16" sqref="V16"/>
    </sheetView>
  </sheetViews>
  <sheetFormatPr defaultRowHeight="17" x14ac:dyDescent="0.45"/>
  <cols>
    <col min="1" max="1" width="22.082031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67</v>
      </c>
      <c r="K1" t="s">
        <v>9</v>
      </c>
      <c r="L1" t="s">
        <v>10</v>
      </c>
    </row>
    <row r="2" spans="1:12" x14ac:dyDescent="0.45">
      <c r="A2" t="s">
        <v>11</v>
      </c>
      <c r="B2">
        <v>90.411553960000006</v>
      </c>
      <c r="C2">
        <v>277.17202150000003</v>
      </c>
      <c r="D2">
        <v>356.22329100000002</v>
      </c>
      <c r="E2">
        <v>366.2564941</v>
      </c>
      <c r="F2">
        <v>275.84494000000001</v>
      </c>
      <c r="G2">
        <v>89.084478000000004</v>
      </c>
      <c r="H2">
        <v>10.033203</v>
      </c>
      <c r="I2">
        <v>1172</v>
      </c>
      <c r="J2">
        <v>0</v>
      </c>
      <c r="K2" t="s">
        <v>12</v>
      </c>
      <c r="L2">
        <f ca="1">RANDBETWEEN(5.2, 36.8)+ROUND(RAND(),2)</f>
        <v>31.14</v>
      </c>
    </row>
    <row r="3" spans="1:12" x14ac:dyDescent="0.45">
      <c r="A3" t="s">
        <v>13</v>
      </c>
      <c r="B3">
        <v>90.411370849999997</v>
      </c>
      <c r="C3">
        <v>277.17202150000003</v>
      </c>
      <c r="D3">
        <v>356.22329100000002</v>
      </c>
      <c r="E3">
        <v>366.2564941</v>
      </c>
      <c r="F3">
        <v>275.845123</v>
      </c>
      <c r="G3">
        <v>89.084473000000003</v>
      </c>
      <c r="H3">
        <v>10.033203</v>
      </c>
      <c r="I3">
        <v>1400</v>
      </c>
      <c r="J3">
        <v>0</v>
      </c>
      <c r="K3" t="s">
        <v>12</v>
      </c>
      <c r="L3">
        <f t="shared" ref="L3:L55" ca="1" si="0">RANDBETWEEN(5.2, 36.8)+ROUND(RAND(),2)</f>
        <v>22.02</v>
      </c>
    </row>
    <row r="4" spans="1:12" x14ac:dyDescent="0.45">
      <c r="A4" t="s">
        <v>14</v>
      </c>
      <c r="B4">
        <v>95.744165039999999</v>
      </c>
      <c r="C4">
        <v>276.72078859999999</v>
      </c>
      <c r="D4">
        <v>312.60854490000003</v>
      </c>
      <c r="E4">
        <v>315.35439450000001</v>
      </c>
      <c r="F4">
        <v>219.610229</v>
      </c>
      <c r="G4">
        <v>38.633606</v>
      </c>
      <c r="H4">
        <v>2.7458499999999999</v>
      </c>
      <c r="I4">
        <v>1004</v>
      </c>
      <c r="J4">
        <v>0</v>
      </c>
      <c r="K4" t="s">
        <v>12</v>
      </c>
      <c r="L4">
        <f t="shared" ca="1" si="0"/>
        <v>7.34</v>
      </c>
    </row>
    <row r="5" spans="1:12" x14ac:dyDescent="0.45">
      <c r="A5" t="s">
        <v>15</v>
      </c>
      <c r="B5">
        <v>89.524804689999996</v>
      </c>
      <c r="C5">
        <v>276.99013669999999</v>
      </c>
      <c r="D5">
        <v>364.38216549999999</v>
      </c>
      <c r="E5">
        <v>376.55214840000002</v>
      </c>
      <c r="F5">
        <v>287.02734400000003</v>
      </c>
      <c r="G5">
        <v>99.562011999999996</v>
      </c>
      <c r="H5">
        <v>12.169983</v>
      </c>
      <c r="I5">
        <v>0</v>
      </c>
      <c r="J5">
        <v>0</v>
      </c>
      <c r="K5" t="s">
        <v>12</v>
      </c>
      <c r="L5">
        <f t="shared" ca="1" si="0"/>
        <v>22.45</v>
      </c>
    </row>
    <row r="6" spans="1:12" x14ac:dyDescent="0.45">
      <c r="A6" t="s">
        <v>16</v>
      </c>
      <c r="B6">
        <v>90.13430176</v>
      </c>
      <c r="C6">
        <v>277.12526860000003</v>
      </c>
      <c r="D6">
        <v>358.7389771</v>
      </c>
      <c r="E6">
        <v>369.39968260000001</v>
      </c>
      <c r="F6">
        <v>279.26538099999999</v>
      </c>
      <c r="G6">
        <v>92.274413999999993</v>
      </c>
      <c r="H6">
        <v>10.660705999999999</v>
      </c>
      <c r="I6">
        <v>1046</v>
      </c>
      <c r="J6">
        <v>0</v>
      </c>
      <c r="K6" t="s">
        <v>17</v>
      </c>
      <c r="L6">
        <f t="shared" ca="1" si="0"/>
        <v>20.72</v>
      </c>
    </row>
    <row r="7" spans="1:12" x14ac:dyDescent="0.45">
      <c r="A7" t="s">
        <v>18</v>
      </c>
      <c r="B7">
        <v>92.487725830000002</v>
      </c>
      <c r="C7">
        <v>277.26650389999998</v>
      </c>
      <c r="D7">
        <v>338.14370120000001</v>
      </c>
      <c r="E7">
        <v>344.40718989999999</v>
      </c>
      <c r="F7">
        <v>251.919464</v>
      </c>
      <c r="G7">
        <v>67.140686000000002</v>
      </c>
      <c r="H7">
        <v>6.2634889999999999</v>
      </c>
      <c r="I7">
        <v>1100</v>
      </c>
      <c r="J7">
        <v>0</v>
      </c>
      <c r="K7" t="s">
        <v>17</v>
      </c>
      <c r="L7">
        <f t="shared" ca="1" si="0"/>
        <v>11.18</v>
      </c>
    </row>
    <row r="8" spans="1:12" x14ac:dyDescent="0.45">
      <c r="A8" t="s">
        <v>19</v>
      </c>
      <c r="B8">
        <v>89.535668950000002</v>
      </c>
      <c r="C8">
        <v>276.99062500000002</v>
      </c>
      <c r="D8">
        <v>364.38283689999997</v>
      </c>
      <c r="E8">
        <v>376.55288089999999</v>
      </c>
      <c r="F8">
        <v>287.01721199999997</v>
      </c>
      <c r="G8">
        <v>99.562256000000005</v>
      </c>
      <c r="H8">
        <v>12.170044000000001</v>
      </c>
      <c r="I8">
        <v>795</v>
      </c>
      <c r="J8">
        <v>0</v>
      </c>
      <c r="K8" t="s">
        <v>12</v>
      </c>
      <c r="L8">
        <f t="shared" ca="1" si="0"/>
        <v>28.53</v>
      </c>
    </row>
    <row r="9" spans="1:12" x14ac:dyDescent="0.45">
      <c r="A9" t="s">
        <v>20</v>
      </c>
      <c r="B9">
        <v>97.34383545</v>
      </c>
      <c r="C9">
        <v>276.25386959999997</v>
      </c>
      <c r="D9">
        <v>301.18569339999999</v>
      </c>
      <c r="E9">
        <v>302.86873780000002</v>
      </c>
      <c r="F9">
        <v>205.52490234999999</v>
      </c>
      <c r="G9">
        <v>26.61486820000005</v>
      </c>
      <c r="H9">
        <v>1.683044400000028</v>
      </c>
      <c r="I9">
        <v>950</v>
      </c>
      <c r="J9">
        <v>0.24444444400000001</v>
      </c>
      <c r="K9" t="s">
        <v>17</v>
      </c>
      <c r="L9">
        <f t="shared" ca="1" si="0"/>
        <v>23.55</v>
      </c>
    </row>
    <row r="10" spans="1:12" x14ac:dyDescent="0.45">
      <c r="A10" t="s">
        <v>21</v>
      </c>
      <c r="B10">
        <v>96.617364499999994</v>
      </c>
      <c r="C10">
        <v>276.47896730000002</v>
      </c>
      <c r="D10">
        <v>306.30178219999999</v>
      </c>
      <c r="E10">
        <v>308.42873539999999</v>
      </c>
      <c r="F10">
        <v>211.81137089999999</v>
      </c>
      <c r="G10">
        <v>31.949768099999972</v>
      </c>
      <c r="H10">
        <v>2.1269532000000031</v>
      </c>
      <c r="I10">
        <v>950</v>
      </c>
      <c r="J10">
        <v>0.27083333300000001</v>
      </c>
      <c r="K10" t="s">
        <v>17</v>
      </c>
      <c r="L10">
        <f t="shared" ca="1" si="0"/>
        <v>15.71</v>
      </c>
    </row>
    <row r="11" spans="1:12" x14ac:dyDescent="0.45">
      <c r="A11" t="s">
        <v>22</v>
      </c>
      <c r="B11">
        <v>97.343255619999994</v>
      </c>
      <c r="C11">
        <v>276.25441890000002</v>
      </c>
      <c r="D11">
        <v>301.1861816</v>
      </c>
      <c r="E11">
        <v>302.86928710000001</v>
      </c>
      <c r="F11">
        <v>205.52603148</v>
      </c>
      <c r="G11">
        <v>26.614868199999989</v>
      </c>
      <c r="H11">
        <v>1.683105500000011</v>
      </c>
      <c r="I11">
        <v>150</v>
      </c>
      <c r="J11">
        <v>0.25531914900000002</v>
      </c>
      <c r="K11" t="s">
        <v>23</v>
      </c>
      <c r="L11">
        <f t="shared" ca="1" si="0"/>
        <v>10.34</v>
      </c>
    </row>
    <row r="12" spans="1:12" x14ac:dyDescent="0.45">
      <c r="A12" t="s">
        <v>24</v>
      </c>
      <c r="B12">
        <v>97.879266357421898</v>
      </c>
      <c r="C12">
        <v>276.07924804687502</v>
      </c>
      <c r="D12">
        <v>297.52846679687502</v>
      </c>
      <c r="E12">
        <v>298.923181152344</v>
      </c>
      <c r="F12">
        <v>201.0439147949221</v>
      </c>
      <c r="G12">
        <v>22.843933105468981</v>
      </c>
      <c r="H12">
        <v>1.3947143554689769</v>
      </c>
      <c r="I12">
        <v>165</v>
      </c>
      <c r="J12">
        <v>0.27777777799999998</v>
      </c>
      <c r="K12" t="s">
        <v>17</v>
      </c>
      <c r="L12">
        <f t="shared" ca="1" si="0"/>
        <v>30.52</v>
      </c>
    </row>
    <row r="13" spans="1:12" x14ac:dyDescent="0.45">
      <c r="A13" t="s">
        <v>25</v>
      </c>
      <c r="B13">
        <v>99.830102539062494</v>
      </c>
      <c r="C13">
        <v>275.37734375000002</v>
      </c>
      <c r="D13">
        <v>284.75234375000002</v>
      </c>
      <c r="E13">
        <v>285.304040527344</v>
      </c>
      <c r="F13">
        <v>185.47393798828151</v>
      </c>
      <c r="G13">
        <v>9.9266967773439774</v>
      </c>
      <c r="H13">
        <v>0.55169677734397737</v>
      </c>
      <c r="I13">
        <v>185</v>
      </c>
      <c r="J13">
        <v>0.28125</v>
      </c>
      <c r="K13" t="s">
        <v>17</v>
      </c>
      <c r="L13">
        <v>24.41</v>
      </c>
    </row>
    <row r="14" spans="1:12" x14ac:dyDescent="0.45">
      <c r="A14" t="s">
        <v>26</v>
      </c>
      <c r="B14">
        <v>99.498315429687494</v>
      </c>
      <c r="C14">
        <v>275.50264892578099</v>
      </c>
      <c r="D14">
        <v>286.86757812500002</v>
      </c>
      <c r="E14">
        <v>287.54287109375002</v>
      </c>
      <c r="F14">
        <v>188.0445556640625</v>
      </c>
      <c r="G14">
        <v>12.040222167969031</v>
      </c>
      <c r="H14">
        <v>0.67529296875</v>
      </c>
      <c r="I14">
        <v>190</v>
      </c>
      <c r="J14">
        <v>0.28333333300000002</v>
      </c>
      <c r="K14" t="s">
        <v>17</v>
      </c>
      <c r="L14">
        <f t="shared" ca="1" si="0"/>
        <v>30.35</v>
      </c>
    </row>
    <row r="15" spans="1:12" x14ac:dyDescent="0.45">
      <c r="A15" t="s">
        <v>27</v>
      </c>
      <c r="B15">
        <v>99.088342285156202</v>
      </c>
      <c r="C15">
        <v>275.653405761719</v>
      </c>
      <c r="D15">
        <v>289.49599609375002</v>
      </c>
      <c r="E15">
        <v>290.33315429687502</v>
      </c>
      <c r="F15">
        <v>191.24481201171881</v>
      </c>
      <c r="G15">
        <v>14.679748535156021</v>
      </c>
      <c r="H15">
        <v>0.837158203125</v>
      </c>
      <c r="I15">
        <v>175</v>
      </c>
      <c r="J15">
        <v>0.28125</v>
      </c>
      <c r="K15" t="s">
        <v>17</v>
      </c>
      <c r="L15">
        <f t="shared" ca="1" si="0"/>
        <v>14.98</v>
      </c>
    </row>
    <row r="16" spans="1:12" x14ac:dyDescent="0.45">
      <c r="A16" t="s">
        <v>28</v>
      </c>
      <c r="B16">
        <v>97.342004394531202</v>
      </c>
      <c r="C16">
        <v>276.25393066406298</v>
      </c>
      <c r="D16">
        <v>301.18569335937502</v>
      </c>
      <c r="E16">
        <v>302.86879882812502</v>
      </c>
      <c r="F16">
        <v>205.52679443359381</v>
      </c>
      <c r="G16">
        <v>26.614868164062049</v>
      </c>
      <c r="H16">
        <v>1.68310546875</v>
      </c>
      <c r="I16">
        <v>160</v>
      </c>
      <c r="J16">
        <v>0.26315789499999998</v>
      </c>
      <c r="K16" t="s">
        <v>17</v>
      </c>
      <c r="L16">
        <f t="shared" ca="1" si="0"/>
        <v>15.8</v>
      </c>
    </row>
    <row r="17" spans="1:12" x14ac:dyDescent="0.45">
      <c r="A17" t="s">
        <v>29</v>
      </c>
      <c r="B17">
        <v>97.879199999999997</v>
      </c>
      <c r="C17">
        <v>278.07924800000001</v>
      </c>
      <c r="D17">
        <v>297.52846679999999</v>
      </c>
      <c r="E17">
        <v>298.92129999999997</v>
      </c>
      <c r="F17">
        <v>201.0421</v>
      </c>
      <c r="G17">
        <v>20.84205199999997</v>
      </c>
      <c r="H17">
        <v>1.3928331999999799</v>
      </c>
      <c r="I17">
        <v>125</v>
      </c>
      <c r="J17">
        <v>0.243243243</v>
      </c>
      <c r="K17" t="s">
        <v>17</v>
      </c>
      <c r="L17">
        <f t="shared" ca="1" si="0"/>
        <v>36.94</v>
      </c>
    </row>
    <row r="18" spans="1:12" x14ac:dyDescent="0.45">
      <c r="A18" t="s">
        <v>30</v>
      </c>
      <c r="B18">
        <v>99.786340330000002</v>
      </c>
      <c r="C18">
        <v>275.39528810000002</v>
      </c>
      <c r="D18">
        <v>285.05505613000003</v>
      </c>
      <c r="E18">
        <v>285.61928710000001</v>
      </c>
      <c r="F18">
        <v>185.83294677000001</v>
      </c>
      <c r="G18">
        <v>10.22399899999999</v>
      </c>
      <c r="H18">
        <v>0.56423096999998279</v>
      </c>
      <c r="I18">
        <v>145</v>
      </c>
      <c r="J18">
        <v>0.29268292699999998</v>
      </c>
      <c r="K18" t="s">
        <v>17</v>
      </c>
      <c r="L18">
        <f t="shared" ca="1" si="0"/>
        <v>21.08</v>
      </c>
    </row>
    <row r="19" spans="1:12" x14ac:dyDescent="0.45">
      <c r="A19" t="s">
        <v>31</v>
      </c>
      <c r="B19">
        <v>97.34200439</v>
      </c>
      <c r="C19">
        <v>276.25393070000001</v>
      </c>
      <c r="D19">
        <v>301.18569339999999</v>
      </c>
      <c r="E19">
        <v>302.86879879999998</v>
      </c>
      <c r="F19">
        <v>205.52679441000001</v>
      </c>
      <c r="G19">
        <v>26.61486809999997</v>
      </c>
      <c r="H19">
        <v>1.6831053999999881</v>
      </c>
      <c r="I19">
        <v>125</v>
      </c>
      <c r="J19">
        <v>0.26666666700000002</v>
      </c>
      <c r="K19" t="s">
        <v>17</v>
      </c>
      <c r="L19">
        <f t="shared" ca="1" si="0"/>
        <v>32.71</v>
      </c>
    </row>
    <row r="20" spans="1:12" x14ac:dyDescent="0.45">
      <c r="A20" t="s">
        <v>32</v>
      </c>
      <c r="B20">
        <v>97.343347170000001</v>
      </c>
      <c r="C20">
        <v>276.25386959999997</v>
      </c>
      <c r="D20">
        <v>301.18569339999999</v>
      </c>
      <c r="E20">
        <v>302.8686768</v>
      </c>
      <c r="F20">
        <v>205.52532962999999</v>
      </c>
      <c r="G20">
        <v>26.61480720000003</v>
      </c>
      <c r="H20">
        <v>1.6829834000000119</v>
      </c>
      <c r="I20">
        <v>120</v>
      </c>
      <c r="J20">
        <v>0.27500000000000002</v>
      </c>
      <c r="K20" t="s">
        <v>17</v>
      </c>
      <c r="L20">
        <f t="shared" ca="1" si="0"/>
        <v>9.64</v>
      </c>
    </row>
    <row r="21" spans="1:12" x14ac:dyDescent="0.45">
      <c r="A21" t="s">
        <v>33</v>
      </c>
      <c r="B21">
        <v>99.498500000000007</v>
      </c>
      <c r="C21">
        <v>275.50258789999998</v>
      </c>
      <c r="D21">
        <v>286.8675781</v>
      </c>
      <c r="E21">
        <v>287.54287110000001</v>
      </c>
      <c r="F21">
        <v>188.04437110000001</v>
      </c>
      <c r="G21">
        <v>12.040283200000029</v>
      </c>
      <c r="H21">
        <v>0.67529300000001058</v>
      </c>
      <c r="I21">
        <v>180</v>
      </c>
      <c r="J21">
        <v>0.3</v>
      </c>
      <c r="K21" t="s">
        <v>17</v>
      </c>
      <c r="L21">
        <f t="shared" ca="1" si="0"/>
        <v>13.84</v>
      </c>
    </row>
    <row r="22" spans="1:12" x14ac:dyDescent="0.45">
      <c r="A22" t="s">
        <v>34</v>
      </c>
      <c r="B22">
        <v>97.343371700000006</v>
      </c>
      <c r="C22">
        <v>276.25386959999997</v>
      </c>
      <c r="D22">
        <v>301.18569339999999</v>
      </c>
      <c r="E22">
        <v>302.86867000000001</v>
      </c>
      <c r="F22">
        <v>205.5252983</v>
      </c>
      <c r="G22">
        <v>26.614800400000039</v>
      </c>
      <c r="H22">
        <v>1.6829766000000179</v>
      </c>
      <c r="I22">
        <v>135</v>
      </c>
      <c r="J22">
        <v>0.27500000000000002</v>
      </c>
      <c r="K22" t="s">
        <v>17</v>
      </c>
      <c r="L22">
        <f t="shared" ca="1" si="0"/>
        <v>9.23</v>
      </c>
    </row>
    <row r="23" spans="1:12" x14ac:dyDescent="0.45">
      <c r="A23" t="s">
        <v>35</v>
      </c>
      <c r="B23">
        <v>97.010919189999996</v>
      </c>
      <c r="C23">
        <v>276.35939939999997</v>
      </c>
      <c r="D23">
        <v>303.51193799999999</v>
      </c>
      <c r="E23">
        <v>305.38991700000003</v>
      </c>
      <c r="F23">
        <v>208.37899780999999</v>
      </c>
      <c r="G23">
        <v>29.030517600000049</v>
      </c>
      <c r="H23">
        <v>1.8779790000000389</v>
      </c>
      <c r="I23">
        <v>135</v>
      </c>
      <c r="J23">
        <v>0.27500000000000002</v>
      </c>
      <c r="K23" t="s">
        <v>17</v>
      </c>
      <c r="L23">
        <f t="shared" ca="1" si="0"/>
        <v>26.73</v>
      </c>
    </row>
    <row r="24" spans="1:12" x14ac:dyDescent="0.45">
      <c r="A24" t="s">
        <v>36</v>
      </c>
      <c r="B24">
        <v>97.62932739</v>
      </c>
      <c r="C24">
        <v>276.1615845</v>
      </c>
      <c r="D24">
        <v>299.21699999999998</v>
      </c>
      <c r="E24">
        <v>300.74263919999999</v>
      </c>
      <c r="F24">
        <v>203.11331181</v>
      </c>
      <c r="G24">
        <v>24.581054699999981</v>
      </c>
      <c r="H24">
        <v>1.525639200000001</v>
      </c>
      <c r="I24">
        <v>145</v>
      </c>
      <c r="J24">
        <v>0.25</v>
      </c>
      <c r="K24" t="s">
        <v>17</v>
      </c>
      <c r="L24">
        <f t="shared" ca="1" si="0"/>
        <v>19.77</v>
      </c>
    </row>
    <row r="25" spans="1:12" x14ac:dyDescent="0.45">
      <c r="A25" t="s">
        <v>37</v>
      </c>
      <c r="B25">
        <v>97.013116479999994</v>
      </c>
      <c r="C25">
        <v>276.35939999999999</v>
      </c>
      <c r="D25">
        <v>303.51193799999999</v>
      </c>
      <c r="E25">
        <v>305.38991700000003</v>
      </c>
      <c r="F25">
        <v>208.37680051999999</v>
      </c>
      <c r="G25">
        <v>29.030517000000032</v>
      </c>
      <c r="H25">
        <v>1.8779790000000389</v>
      </c>
      <c r="I25">
        <v>130</v>
      </c>
      <c r="J25">
        <v>0.28571428599999998</v>
      </c>
      <c r="K25" t="s">
        <v>17</v>
      </c>
      <c r="L25">
        <f t="shared" ca="1" si="0"/>
        <v>9.81</v>
      </c>
    </row>
    <row r="26" spans="1:12" x14ac:dyDescent="0.45">
      <c r="A26" s="1" t="s">
        <v>68</v>
      </c>
      <c r="B26" s="2">
        <v>97.629235840000007</v>
      </c>
      <c r="C26" s="2">
        <v>276.1615845</v>
      </c>
      <c r="D26" s="2">
        <v>299.21767579999999</v>
      </c>
      <c r="E26" s="2">
        <v>300.74263919999999</v>
      </c>
      <c r="F26" s="2">
        <v>203.11340336000001</v>
      </c>
      <c r="G26" s="2">
        <f>$E26-$C26</f>
        <v>24.581054699999981</v>
      </c>
      <c r="H26" s="2">
        <v>1.5249633999999901</v>
      </c>
      <c r="I26" s="2">
        <v>165</v>
      </c>
      <c r="J26" s="2">
        <v>0.27142857100000001</v>
      </c>
      <c r="K26" t="s">
        <v>17</v>
      </c>
      <c r="L26">
        <f t="shared" ca="1" si="0"/>
        <v>17.239999999999998</v>
      </c>
    </row>
    <row r="27" spans="1:12" x14ac:dyDescent="0.45">
      <c r="A27" t="s">
        <v>38</v>
      </c>
      <c r="B27">
        <v>98.096307370000005</v>
      </c>
      <c r="C27">
        <v>276.00563959999999</v>
      </c>
      <c r="D27">
        <v>296.06252439999997</v>
      </c>
      <c r="E27">
        <v>297.34792479999999</v>
      </c>
      <c r="F27">
        <v>199.25161743000001</v>
      </c>
      <c r="G27">
        <v>21.342285199999999</v>
      </c>
      <c r="H27">
        <v>1.285400400000015</v>
      </c>
      <c r="I27">
        <v>170</v>
      </c>
      <c r="J27">
        <v>0.264705882</v>
      </c>
      <c r="K27" t="s">
        <v>17</v>
      </c>
      <c r="L27">
        <f t="shared" ca="1" si="0"/>
        <v>20.059999999999999</v>
      </c>
    </row>
    <row r="28" spans="1:12" x14ac:dyDescent="0.45">
      <c r="A28" t="s">
        <v>39</v>
      </c>
      <c r="B28">
        <v>98.680902099999997</v>
      </c>
      <c r="C28">
        <v>275.80086669999997</v>
      </c>
      <c r="D28">
        <v>292.16628420000001</v>
      </c>
      <c r="E28">
        <v>293.17800290000002</v>
      </c>
      <c r="F28">
        <v>194.4971008</v>
      </c>
      <c r="G28">
        <v>17.377136200000049</v>
      </c>
      <c r="H28">
        <v>1.011718700000017</v>
      </c>
      <c r="I28">
        <v>175</v>
      </c>
      <c r="J28">
        <v>0.27272727299999999</v>
      </c>
      <c r="K28" t="s">
        <v>17</v>
      </c>
      <c r="L28">
        <f t="shared" ca="1" si="0"/>
        <v>6.23</v>
      </c>
    </row>
    <row r="29" spans="1:12" x14ac:dyDescent="0.45">
      <c r="A29" t="s">
        <v>40</v>
      </c>
      <c r="B29">
        <v>98.985955809999993</v>
      </c>
      <c r="C29">
        <v>275.6912476</v>
      </c>
      <c r="D29">
        <v>290.169397</v>
      </c>
      <c r="E29">
        <v>291.049646</v>
      </c>
      <c r="F29">
        <v>192.06369018999999</v>
      </c>
      <c r="G29">
        <v>15.3583984</v>
      </c>
      <c r="H29">
        <v>0.88024899999999207</v>
      </c>
      <c r="I29">
        <v>180</v>
      </c>
      <c r="J29">
        <v>0.28125</v>
      </c>
      <c r="K29" t="s">
        <v>17</v>
      </c>
      <c r="L29">
        <f t="shared" ca="1" si="0"/>
        <v>13.7</v>
      </c>
    </row>
    <row r="30" spans="1:12" x14ac:dyDescent="0.45">
      <c r="A30" t="s">
        <v>41</v>
      </c>
      <c r="B30">
        <v>98.747460939999996</v>
      </c>
      <c r="C30">
        <v>275.77687989999998</v>
      </c>
      <c r="D30">
        <v>291.72548829999999</v>
      </c>
      <c r="E30">
        <v>292.70766600000002</v>
      </c>
      <c r="F30">
        <v>193.96020505999999</v>
      </c>
      <c r="G30">
        <v>16.930786100000031</v>
      </c>
      <c r="H30">
        <v>0.98217770000002247</v>
      </c>
      <c r="I30">
        <v>185</v>
      </c>
      <c r="J30">
        <v>0.265625</v>
      </c>
      <c r="K30" t="s">
        <v>17</v>
      </c>
      <c r="L30">
        <f t="shared" ca="1" si="0"/>
        <v>33.68</v>
      </c>
    </row>
    <row r="31" spans="1:12" x14ac:dyDescent="0.45">
      <c r="A31" t="s">
        <v>42</v>
      </c>
      <c r="B31">
        <v>98.871484379999998</v>
      </c>
      <c r="C31">
        <v>275.73214109999998</v>
      </c>
      <c r="D31">
        <v>290.90908200000001</v>
      </c>
      <c r="E31">
        <v>291.83736570000002</v>
      </c>
      <c r="F31">
        <v>192.96588131999999</v>
      </c>
      <c r="G31">
        <v>16.105224600000039</v>
      </c>
      <c r="H31">
        <v>0.92828370000000859</v>
      </c>
      <c r="I31">
        <v>180</v>
      </c>
      <c r="J31">
        <v>0.29032258100000002</v>
      </c>
      <c r="K31" t="s">
        <v>17</v>
      </c>
      <c r="L31">
        <f t="shared" ca="1" si="0"/>
        <v>23.21</v>
      </c>
    </row>
    <row r="32" spans="1:12" x14ac:dyDescent="0.45">
      <c r="A32" t="s">
        <v>43</v>
      </c>
      <c r="B32">
        <v>99.498315430000005</v>
      </c>
      <c r="C32">
        <v>275.5026489</v>
      </c>
      <c r="D32">
        <v>286.8675781</v>
      </c>
      <c r="E32">
        <v>287.54287110000001</v>
      </c>
      <c r="F32">
        <v>188.04455566999999</v>
      </c>
      <c r="G32">
        <v>12.04022220000002</v>
      </c>
      <c r="H32">
        <v>0.67529300000001058</v>
      </c>
      <c r="I32">
        <v>185</v>
      </c>
      <c r="J32">
        <v>0.283870968</v>
      </c>
      <c r="K32" t="s">
        <v>17</v>
      </c>
      <c r="L32">
        <f t="shared" ca="1" si="0"/>
        <v>10.84</v>
      </c>
    </row>
    <row r="33" spans="1:12" x14ac:dyDescent="0.45">
      <c r="A33" t="s">
        <v>44</v>
      </c>
      <c r="B33">
        <v>99.08834229</v>
      </c>
      <c r="C33">
        <v>275.65340579999997</v>
      </c>
      <c r="D33">
        <v>289.49599610000001</v>
      </c>
      <c r="E33">
        <v>290.33315429999999</v>
      </c>
      <c r="F33">
        <v>191.24481201</v>
      </c>
      <c r="G33">
        <v>14.67974850000002</v>
      </c>
      <c r="H33">
        <v>0.8371581999999762</v>
      </c>
      <c r="I33">
        <v>175</v>
      </c>
      <c r="J33">
        <v>0.27272727299999999</v>
      </c>
      <c r="K33" t="s">
        <v>17</v>
      </c>
      <c r="L33">
        <f t="shared" ca="1" si="0"/>
        <v>36.78</v>
      </c>
    </row>
    <row r="34" spans="1:12" x14ac:dyDescent="0.45">
      <c r="A34" t="s">
        <v>45</v>
      </c>
      <c r="B34">
        <v>99.786340330000002</v>
      </c>
      <c r="C34">
        <v>275.39528810000002</v>
      </c>
      <c r="D34">
        <v>285.05056130000003</v>
      </c>
      <c r="E34">
        <v>285.61928710000001</v>
      </c>
      <c r="F34">
        <v>185.83294677000001</v>
      </c>
      <c r="G34">
        <v>10.22399899999999</v>
      </c>
      <c r="H34">
        <v>0.56872579999998152</v>
      </c>
      <c r="I34">
        <v>145</v>
      </c>
      <c r="J34">
        <v>0.29411764699999998</v>
      </c>
      <c r="K34" t="s">
        <v>17</v>
      </c>
      <c r="L34">
        <f t="shared" ca="1" si="0"/>
        <v>36.58</v>
      </c>
    </row>
    <row r="35" spans="1:12" x14ac:dyDescent="0.45">
      <c r="A35" t="s">
        <v>46</v>
      </c>
      <c r="B35">
        <v>96.61760864</v>
      </c>
      <c r="C35">
        <v>276.47896730000002</v>
      </c>
      <c r="D35">
        <v>306.30178219999999</v>
      </c>
      <c r="E35">
        <v>308.42869999999999</v>
      </c>
      <c r="F35">
        <v>211.81109136000001</v>
      </c>
      <c r="G35">
        <v>31.94973269999997</v>
      </c>
      <c r="H35">
        <v>2.1269178000000011</v>
      </c>
      <c r="I35">
        <v>163</v>
      </c>
      <c r="J35">
        <v>0.25</v>
      </c>
      <c r="K35" t="s">
        <v>17</v>
      </c>
      <c r="L35">
        <f t="shared" ca="1" si="0"/>
        <v>20.79</v>
      </c>
    </row>
    <row r="36" spans="1:12" x14ac:dyDescent="0.45">
      <c r="A36" t="s">
        <v>47</v>
      </c>
      <c r="B36">
        <v>98.456353759999999</v>
      </c>
      <c r="C36">
        <v>275.87978520000001</v>
      </c>
      <c r="D36">
        <v>293.6419922</v>
      </c>
      <c r="E36">
        <v>294.75454100000002</v>
      </c>
      <c r="F36">
        <v>196.29818724</v>
      </c>
      <c r="G36">
        <v>18.874755799999999</v>
      </c>
      <c r="H36">
        <v>1.112548800000013</v>
      </c>
      <c r="I36">
        <v>187</v>
      </c>
      <c r="J36">
        <v>0.257142857</v>
      </c>
      <c r="K36" t="s">
        <v>17</v>
      </c>
      <c r="L36">
        <f t="shared" ca="1" si="0"/>
        <v>7.49</v>
      </c>
    </row>
    <row r="37" spans="1:12" x14ac:dyDescent="0.45">
      <c r="A37" t="s">
        <v>48</v>
      </c>
      <c r="B37">
        <v>98.137017819999997</v>
      </c>
      <c r="C37">
        <v>276.61428219999999</v>
      </c>
      <c r="D37">
        <v>309.7174316</v>
      </c>
      <c r="E37">
        <v>312.16933590000002</v>
      </c>
      <c r="F37">
        <v>214.03231808000001</v>
      </c>
      <c r="G37">
        <v>35.55505370000003</v>
      </c>
      <c r="H37">
        <v>2.4519043000000238</v>
      </c>
      <c r="I37">
        <v>155</v>
      </c>
      <c r="J37">
        <v>0.24</v>
      </c>
      <c r="K37" t="s">
        <v>17</v>
      </c>
      <c r="L37">
        <f t="shared" ca="1" si="0"/>
        <v>8.19</v>
      </c>
    </row>
    <row r="38" spans="1:12" x14ac:dyDescent="0.45">
      <c r="A38" t="s">
        <v>49</v>
      </c>
      <c r="B38">
        <v>97.341546629999996</v>
      </c>
      <c r="C38">
        <v>276.25386959999997</v>
      </c>
      <c r="D38">
        <v>301.18557129999999</v>
      </c>
      <c r="E38">
        <v>302.8686768</v>
      </c>
      <c r="F38">
        <v>205.52713016999999</v>
      </c>
      <c r="G38">
        <v>26.61480720000003</v>
      </c>
      <c r="H38">
        <v>1.683105500000011</v>
      </c>
      <c r="I38">
        <v>170</v>
      </c>
      <c r="J38">
        <v>0.26190476200000001</v>
      </c>
      <c r="K38" t="s">
        <v>17</v>
      </c>
      <c r="L38">
        <f t="shared" ca="1" si="0"/>
        <v>24.84</v>
      </c>
    </row>
    <row r="39" spans="1:12" x14ac:dyDescent="0.45">
      <c r="A39" t="s">
        <v>50</v>
      </c>
      <c r="B39">
        <v>95.551293950000002</v>
      </c>
      <c r="C39">
        <v>276.76857910000001</v>
      </c>
      <c r="D39">
        <v>314.00600589999999</v>
      </c>
      <c r="E39">
        <v>316.90065920000001</v>
      </c>
      <c r="F39">
        <v>221.34936525000001</v>
      </c>
      <c r="G39">
        <v>40.132080100000003</v>
      </c>
      <c r="H39">
        <v>2.8946533000000159</v>
      </c>
      <c r="I39">
        <v>160</v>
      </c>
      <c r="J39">
        <v>0.25454545499999998</v>
      </c>
      <c r="K39" t="s">
        <v>17</v>
      </c>
      <c r="L39">
        <f t="shared" ca="1" si="0"/>
        <v>17.25</v>
      </c>
    </row>
    <row r="40" spans="1:12" x14ac:dyDescent="0.45">
      <c r="A40" t="s">
        <v>51</v>
      </c>
      <c r="B40">
        <v>97.345605469999995</v>
      </c>
      <c r="C40">
        <v>276.25448</v>
      </c>
      <c r="D40">
        <v>301.18624269999998</v>
      </c>
      <c r="E40">
        <v>301.86928710000001</v>
      </c>
      <c r="F40">
        <v>204.52368163</v>
      </c>
      <c r="G40">
        <v>25.614807100000011</v>
      </c>
      <c r="H40">
        <v>0.68304440000002842</v>
      </c>
      <c r="I40">
        <v>165</v>
      </c>
      <c r="J40">
        <v>0.26666666700000002</v>
      </c>
      <c r="K40" t="s">
        <v>17</v>
      </c>
      <c r="L40">
        <f t="shared" ca="1" si="0"/>
        <v>34.270000000000003</v>
      </c>
    </row>
    <row r="41" spans="1:12" x14ac:dyDescent="0.45">
      <c r="A41" t="s">
        <v>52</v>
      </c>
      <c r="B41">
        <v>96.614373779999994</v>
      </c>
      <c r="C41">
        <v>276.47890630000001</v>
      </c>
      <c r="D41">
        <v>306.30172119999997</v>
      </c>
      <c r="E41">
        <v>308.42867430000001</v>
      </c>
      <c r="F41">
        <v>211.81430051999999</v>
      </c>
      <c r="G41">
        <v>31.949768000000009</v>
      </c>
      <c r="H41">
        <v>2.126953100000037</v>
      </c>
      <c r="I41">
        <v>160</v>
      </c>
      <c r="J41">
        <v>0.28571428599999998</v>
      </c>
      <c r="K41" t="s">
        <v>17</v>
      </c>
      <c r="L41">
        <f t="shared" ca="1" si="0"/>
        <v>14.45</v>
      </c>
    </row>
    <row r="42" spans="1:12" x14ac:dyDescent="0.45">
      <c r="A42" t="s">
        <v>53</v>
      </c>
      <c r="B42">
        <v>96.137017819999997</v>
      </c>
      <c r="C42">
        <v>276.61428219999999</v>
      </c>
      <c r="D42">
        <v>309.7174316</v>
      </c>
      <c r="E42">
        <v>312.16933590000002</v>
      </c>
      <c r="F42">
        <v>216.03231808000001</v>
      </c>
      <c r="G42">
        <v>35.55505370000003</v>
      </c>
      <c r="H42">
        <v>2.4519043000000238</v>
      </c>
      <c r="I42">
        <v>165</v>
      </c>
      <c r="J42">
        <v>0.27500000000000002</v>
      </c>
      <c r="K42" t="s">
        <v>17</v>
      </c>
      <c r="L42">
        <f t="shared" ca="1" si="0"/>
        <v>27.09</v>
      </c>
    </row>
    <row r="43" spans="1:12" x14ac:dyDescent="0.45">
      <c r="A43" t="s">
        <v>54</v>
      </c>
      <c r="B43">
        <v>97.632623289999998</v>
      </c>
      <c r="C43">
        <v>276.16164550000002</v>
      </c>
      <c r="D43">
        <v>299.21767579999999</v>
      </c>
      <c r="E43">
        <v>300.7427002</v>
      </c>
      <c r="F43">
        <v>203.11007691</v>
      </c>
      <c r="G43">
        <v>24.581054699999981</v>
      </c>
      <c r="H43">
        <v>1.5250244000000071</v>
      </c>
      <c r="I43">
        <v>175</v>
      </c>
      <c r="J43">
        <v>0.28125</v>
      </c>
      <c r="K43" t="s">
        <v>17</v>
      </c>
      <c r="L43">
        <f t="shared" ca="1" si="0"/>
        <v>19.62</v>
      </c>
    </row>
    <row r="44" spans="1:12" x14ac:dyDescent="0.45">
      <c r="A44" s="1" t="s">
        <v>55</v>
      </c>
      <c r="B44" s="2">
        <v>96.612634279999995</v>
      </c>
      <c r="C44" s="2">
        <v>276.47835689999999</v>
      </c>
      <c r="D44" s="2">
        <v>306.30117189999999</v>
      </c>
      <c r="E44" s="2">
        <v>308.42812500000002</v>
      </c>
      <c r="F44" s="2">
        <v>211.81549072000001</v>
      </c>
      <c r="G44" s="2">
        <f>$E44-$C44</f>
        <v>31.949768100000028</v>
      </c>
      <c r="H44" s="2">
        <v>2.126953100000037</v>
      </c>
      <c r="I44" s="2">
        <v>195</v>
      </c>
      <c r="J44" s="2">
        <v>0.28571428599999998</v>
      </c>
      <c r="K44" t="s">
        <v>17</v>
      </c>
      <c r="L44">
        <f t="shared" ca="1" si="0"/>
        <v>6.36</v>
      </c>
    </row>
    <row r="45" spans="1:12" x14ac:dyDescent="0.45">
      <c r="A45" t="s">
        <v>56</v>
      </c>
      <c r="B45">
        <v>97.00698242</v>
      </c>
      <c r="C45">
        <v>276.3589111</v>
      </c>
      <c r="D45">
        <v>303.51064450000001</v>
      </c>
      <c r="E45">
        <v>305.3893066</v>
      </c>
      <c r="F45">
        <v>208.38232418000001</v>
      </c>
      <c r="G45">
        <v>29.030395500000001</v>
      </c>
      <c r="H45">
        <v>1.878662099999985</v>
      </c>
      <c r="I45">
        <v>185</v>
      </c>
      <c r="J45">
        <v>0.3</v>
      </c>
      <c r="K45" t="s">
        <v>17</v>
      </c>
      <c r="L45">
        <f t="shared" ca="1" si="0"/>
        <v>27.13</v>
      </c>
    </row>
    <row r="46" spans="1:12" x14ac:dyDescent="0.45">
      <c r="A46" t="s">
        <v>57</v>
      </c>
      <c r="B46">
        <v>97.993554689999996</v>
      </c>
      <c r="C46">
        <v>276.04146730000002</v>
      </c>
      <c r="D46">
        <v>296.77053219999999</v>
      </c>
      <c r="E46">
        <v>298.10829699999999</v>
      </c>
      <c r="F46">
        <v>200.11474231</v>
      </c>
      <c r="G46">
        <v>22.066829699999971</v>
      </c>
      <c r="H46">
        <v>1.337764800000002</v>
      </c>
      <c r="I46">
        <v>190</v>
      </c>
      <c r="J46">
        <v>0.28571428599999998</v>
      </c>
      <c r="K46" t="s">
        <v>17</v>
      </c>
      <c r="L46">
        <f t="shared" ca="1" si="0"/>
        <v>17.920000000000002</v>
      </c>
    </row>
    <row r="47" spans="1:12" x14ac:dyDescent="0.45">
      <c r="A47" t="s">
        <v>58</v>
      </c>
      <c r="B47">
        <v>96.614312740000003</v>
      </c>
      <c r="C47">
        <v>276.47890630000001</v>
      </c>
      <c r="D47">
        <v>306.30166020000001</v>
      </c>
      <c r="E47">
        <v>308.42867430000001</v>
      </c>
      <c r="F47">
        <v>211.81436156000001</v>
      </c>
      <c r="G47">
        <v>31.949768000000009</v>
      </c>
      <c r="H47">
        <v>2.1270140999999971</v>
      </c>
      <c r="I47">
        <v>170</v>
      </c>
      <c r="J47">
        <v>0.26190476200000001</v>
      </c>
      <c r="K47" t="s">
        <v>17</v>
      </c>
      <c r="L47">
        <f t="shared" ca="1" si="0"/>
        <v>6.82</v>
      </c>
    </row>
    <row r="48" spans="1:12" x14ac:dyDescent="0.45">
      <c r="A48" t="s">
        <v>59</v>
      </c>
      <c r="B48">
        <v>95.557751499999995</v>
      </c>
      <c r="C48">
        <v>276.76857910000001</v>
      </c>
      <c r="D48">
        <v>314.00612790000002</v>
      </c>
      <c r="E48">
        <v>316.90072020000002</v>
      </c>
      <c r="F48">
        <v>221.3429687</v>
      </c>
      <c r="G48">
        <v>40.132141100000013</v>
      </c>
      <c r="H48">
        <v>2.8945922999999989</v>
      </c>
      <c r="I48">
        <v>155</v>
      </c>
      <c r="J48">
        <v>0.26</v>
      </c>
      <c r="K48" t="s">
        <v>17</v>
      </c>
      <c r="L48">
        <f t="shared" ca="1" si="0"/>
        <v>22.38</v>
      </c>
    </row>
    <row r="49" spans="1:12" x14ac:dyDescent="0.45">
      <c r="A49" t="s">
        <v>60</v>
      </c>
      <c r="B49">
        <v>94.813165280000007</v>
      </c>
      <c r="C49">
        <v>276.93741230000001</v>
      </c>
      <c r="D49">
        <v>319.56728520000001</v>
      </c>
      <c r="E49">
        <v>323.09938959999999</v>
      </c>
      <c r="F49">
        <v>228.28622432</v>
      </c>
      <c r="G49">
        <v>46.16197729999999</v>
      </c>
      <c r="H49">
        <v>3.5321043999999802</v>
      </c>
      <c r="I49">
        <v>140</v>
      </c>
      <c r="J49">
        <v>0.25</v>
      </c>
      <c r="K49" t="s">
        <v>17</v>
      </c>
      <c r="L49">
        <f t="shared" ca="1" si="0"/>
        <v>13.28</v>
      </c>
    </row>
    <row r="50" spans="1:12" x14ac:dyDescent="0.45">
      <c r="A50" t="s">
        <v>61</v>
      </c>
      <c r="B50">
        <v>97.00698242</v>
      </c>
      <c r="C50">
        <v>276.3589111</v>
      </c>
      <c r="D50">
        <v>303.51064450000001</v>
      </c>
      <c r="E50">
        <v>305.3893066</v>
      </c>
      <c r="F50">
        <v>208.38232418000001</v>
      </c>
      <c r="G50">
        <v>29.030395500000001</v>
      </c>
      <c r="H50">
        <v>1.878662099999985</v>
      </c>
      <c r="I50">
        <v>180</v>
      </c>
      <c r="J50">
        <v>0.26315789499999998</v>
      </c>
      <c r="K50" t="s">
        <v>17</v>
      </c>
      <c r="L50">
        <f t="shared" ca="1" si="0"/>
        <v>28.36</v>
      </c>
    </row>
    <row r="51" spans="1:12" x14ac:dyDescent="0.45">
      <c r="A51" s="1" t="s">
        <v>62</v>
      </c>
      <c r="B51" s="2">
        <v>97.631585689999994</v>
      </c>
      <c r="C51" s="2">
        <v>276.16170649999998</v>
      </c>
      <c r="D51" s="2">
        <v>299.21767579999999</v>
      </c>
      <c r="E51" s="2">
        <v>300.7427002</v>
      </c>
      <c r="F51" s="2">
        <f>$E51-$B51</f>
        <v>203.11111450999999</v>
      </c>
      <c r="G51" s="2">
        <f>$E51-$C51</f>
        <v>24.580993700000022</v>
      </c>
      <c r="H51" s="2">
        <f>$E51-$D51</f>
        <v>1.5250244000000066</v>
      </c>
      <c r="I51" s="2">
        <v>190</v>
      </c>
      <c r="J51" s="2">
        <v>0.257142857</v>
      </c>
      <c r="K51" t="s">
        <v>17</v>
      </c>
      <c r="L51">
        <f t="shared" ca="1" si="0"/>
        <v>36.729999999999997</v>
      </c>
    </row>
    <row r="52" spans="1:12" x14ac:dyDescent="0.45">
      <c r="A52" t="s">
        <v>63</v>
      </c>
      <c r="B52">
        <v>98.813745119999993</v>
      </c>
      <c r="C52">
        <v>275.75460199999998</v>
      </c>
      <c r="D52">
        <v>291.30751950000001</v>
      </c>
      <c r="E52">
        <v>292.26198729999999</v>
      </c>
      <c r="F52">
        <v>193.44824217999999</v>
      </c>
      <c r="G52">
        <v>16.50738530000001</v>
      </c>
      <c r="H52">
        <v>0.95446779999997489</v>
      </c>
      <c r="I52">
        <v>195</v>
      </c>
      <c r="J52">
        <v>0.26666666700000002</v>
      </c>
      <c r="K52" t="s">
        <v>17</v>
      </c>
      <c r="L52">
        <f t="shared" ca="1" si="0"/>
        <v>25.17</v>
      </c>
    </row>
    <row r="53" spans="1:12" x14ac:dyDescent="0.45">
      <c r="A53" t="s">
        <v>64</v>
      </c>
      <c r="B53">
        <v>96.614312740000003</v>
      </c>
      <c r="C53">
        <v>276.47890630000001</v>
      </c>
      <c r="D53">
        <v>306.30172119999997</v>
      </c>
      <c r="E53">
        <v>308.42869430000002</v>
      </c>
      <c r="F53">
        <v>211.81438155999999</v>
      </c>
      <c r="G53">
        <v>31.949788000000009</v>
      </c>
      <c r="H53">
        <v>2.1269731000000429</v>
      </c>
      <c r="I53">
        <v>160</v>
      </c>
      <c r="J53">
        <v>0.26666666700000002</v>
      </c>
      <c r="K53" t="s">
        <v>17</v>
      </c>
      <c r="L53">
        <f t="shared" ca="1" si="0"/>
        <v>33.200000000000003</v>
      </c>
    </row>
    <row r="54" spans="1:12" x14ac:dyDescent="0.45">
      <c r="A54" t="s">
        <v>65</v>
      </c>
      <c r="B54">
        <v>96.137048340000007</v>
      </c>
      <c r="C54">
        <v>276.61428219999999</v>
      </c>
      <c r="D54">
        <v>309.7174316</v>
      </c>
      <c r="E54">
        <v>312.16933590000002</v>
      </c>
      <c r="F54">
        <v>216.03228755999999</v>
      </c>
      <c r="G54">
        <v>35.55505370000003</v>
      </c>
      <c r="H54">
        <v>2.4519043000000238</v>
      </c>
      <c r="I54">
        <v>210</v>
      </c>
      <c r="J54">
        <v>0.27500000000000002</v>
      </c>
      <c r="K54" t="s">
        <v>17</v>
      </c>
      <c r="L54">
        <f t="shared" ca="1" si="0"/>
        <v>9.68</v>
      </c>
    </row>
    <row r="55" spans="1:12" x14ac:dyDescent="0.45">
      <c r="A55" t="s">
        <v>66</v>
      </c>
      <c r="B55">
        <v>97.0118042</v>
      </c>
      <c r="C55">
        <v>276.35952150000003</v>
      </c>
      <c r="D55">
        <v>303.51113279999998</v>
      </c>
      <c r="E55">
        <v>305.38990000000001</v>
      </c>
      <c r="F55">
        <v>208.37809580000001</v>
      </c>
      <c r="G55">
        <v>29.03037849999998</v>
      </c>
      <c r="H55">
        <v>1.8787672000000299</v>
      </c>
      <c r="I55">
        <v>175</v>
      </c>
      <c r="J55">
        <v>0.236842105</v>
      </c>
      <c r="K55" t="s">
        <v>17</v>
      </c>
      <c r="L55">
        <f t="shared" ca="1" si="0"/>
        <v>24.06</v>
      </c>
    </row>
    <row r="113" spans="2:2" x14ac:dyDescent="0.45">
      <c r="B11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임수현</cp:lastModifiedBy>
  <dcterms:created xsi:type="dcterms:W3CDTF">2025-11-08T06:39:53Z</dcterms:created>
  <dcterms:modified xsi:type="dcterms:W3CDTF">2025-11-21T05:10:24Z</dcterms:modified>
</cp:coreProperties>
</file>